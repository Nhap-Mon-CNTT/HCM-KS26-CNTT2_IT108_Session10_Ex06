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_sach" sheetId="1" state="visible" r:id="rId3"/>
    <sheet name="Hoa_hong" sheetId="2" state="visible" r:id="rId4"/>
    <sheet name="Tham_so" sheetId="3" state="visible" r:id="rId5"/>
    <sheet name="Kiem_thu" sheetId="4" state="visible" r:id="rId6"/>
  </sheets>
  <definedNames>
    <definedName function="false" hidden="true" localSheetId="0" name="_xlnm._FilterDatabase" vbProcedure="false">Danh_sach!$A$4:$L$14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<sst xmlns="http://schemas.openxmlformats.org/spreadsheetml/2006/main" count="91" uniqueCount="66">
  <si>
    <t xml:space="preserve">DANH SÁCH NHÀ ĐẤT — Smart-Home (dữ liệu mẫu)</t>
  </si>
  <si>
    <t xml:space="preserve">Mỗi dòng = 1 Record, mỗi cột = 1 Field, không Merge Cell. Chữ xanh = nhập; chữ đen = công thức. Đơn vị tiền: triệu VNĐ.</t>
  </si>
  <si>
    <t xml:space="preserve">Mã nhà</t>
  </si>
  <si>
    <t xml:space="preserve">Địa chỉ</t>
  </si>
  <si>
    <t xml:space="preserve">Quận/Huyện</t>
  </si>
  <si>
    <t xml:space="preserve">Loại hình</t>
  </si>
  <si>
    <t xml:space="preserve">Diện tích (m²)</t>
  </si>
  <si>
    <t xml:space="preserve">Giá khởi điểm</t>
  </si>
  <si>
    <t xml:space="preserve">Chiết khấu (%)</t>
  </si>
  <si>
    <t xml:space="preserve">Hạng môi giới</t>
  </si>
  <si>
    <t xml:space="preserve">% Hoa hồng</t>
  </si>
  <si>
    <t xml:space="preserve">Giá sau chiết khấu</t>
  </si>
  <si>
    <t xml:space="preserve">Hoa hồng</t>
  </si>
  <si>
    <t xml:space="preserve">Giá thuê/tháng</t>
  </si>
  <si>
    <t xml:space="preserve">SH001</t>
  </si>
  <si>
    <t xml:space="preserve">12 Nguyễn Huệ</t>
  </si>
  <si>
    <t xml:space="preserve">Quận 1</t>
  </si>
  <si>
    <t xml:space="preserve">Căn hộ</t>
  </si>
  <si>
    <t xml:space="preserve">A</t>
  </si>
  <si>
    <t xml:space="preserve">SH002</t>
  </si>
  <si>
    <t xml:space="preserve">45 Lê Văn Việt</t>
  </si>
  <si>
    <t xml:space="preserve">TP Thủ Đức</t>
  </si>
  <si>
    <t xml:space="preserve">Nhà phố</t>
  </si>
  <si>
    <t xml:space="preserve">B</t>
  </si>
  <si>
    <t xml:space="preserve">SH003</t>
  </si>
  <si>
    <t xml:space="preserve">8 Trần Não</t>
  </si>
  <si>
    <t xml:space="preserve">Biệt thự</t>
  </si>
  <si>
    <t xml:space="preserve">SH004</t>
  </si>
  <si>
    <t xml:space="preserve">23 Phan Văn Trị</t>
  </si>
  <si>
    <t xml:space="preserve">Gò Vấp</t>
  </si>
  <si>
    <t xml:space="preserve">C</t>
  </si>
  <si>
    <t xml:space="preserve">SH005</t>
  </si>
  <si>
    <t xml:space="preserve">101 Nguyễn Văn Linh</t>
  </si>
  <si>
    <t xml:space="preserve">Quận 7</t>
  </si>
  <si>
    <t xml:space="preserve">SH006</t>
  </si>
  <si>
    <t xml:space="preserve">77 Cộng Hòa</t>
  </si>
  <si>
    <t xml:space="preserve">Tân Bình</t>
  </si>
  <si>
    <t xml:space="preserve">SH007</t>
  </si>
  <si>
    <t xml:space="preserve">5 Võ Văn Kiệt</t>
  </si>
  <si>
    <t xml:space="preserve">Quận 5</t>
  </si>
  <si>
    <t xml:space="preserve">SH008</t>
  </si>
  <si>
    <t xml:space="preserve">32 Lý Thường Kiệt</t>
  </si>
  <si>
    <t xml:space="preserve">Quận 10</t>
  </si>
  <si>
    <t xml:space="preserve">SH009</t>
  </si>
  <si>
    <t xml:space="preserve">18 Quang Trung</t>
  </si>
  <si>
    <t xml:space="preserve">Đất nền</t>
  </si>
  <si>
    <t xml:space="preserve">SH010</t>
  </si>
  <si>
    <t xml:space="preserve">60 Huỳnh Tấn Phát</t>
  </si>
  <si>
    <t xml:space="preserve">BẢNG TRA HOA HỒNG MÔI GIỚI</t>
  </si>
  <si>
    <t xml:space="preserve">Dữ liệu mẫu (giả định). Chữ xanh = dữ liệu nhập.</t>
  </si>
  <si>
    <t xml:space="preserve">THAM SỐ VÀ TỔNG HỢP</t>
  </si>
  <si>
    <t xml:space="preserve">Giả định do Tutor đặt; thay bằng số liệu thật của dự án.</t>
  </si>
  <si>
    <t xml:space="preserve">Tỷ suất cho thuê/năm (giả định)</t>
  </si>
  <si>
    <t xml:space="preserve">Tổng giá sau chiết khấu (triệu VNĐ)</t>
  </si>
  <si>
    <t xml:space="preserve">Tổng hoa hồng môi giới (triệu VNĐ)</t>
  </si>
  <si>
    <t xml:space="preserve">Số căn trong danh sách</t>
  </si>
  <si>
    <t xml:space="preserve">KIỂM THỬ: TRÔI VÙNG KHI KÉO CÔNG THỨC</t>
  </si>
  <si>
    <t xml:space="preserve">Mô phỏng kết quả khi kéo công thức xuống 4 dòng. Cột sai dùng Hoa_hong!A4:B6 (không $), cột đúng dùng $A$4:$B$6.</t>
  </si>
  <si>
    <t xml:space="preserve">Hạng</t>
  </si>
  <si>
    <t xml:space="preserve">Vùng tra khi kéo (sai)</t>
  </si>
  <si>
    <t xml:space="preserve">Kết quả SAI (không $)</t>
  </si>
  <si>
    <t xml:space="preserve">Kết quả ĐÚNG ($A$4:$B$6)</t>
  </si>
  <si>
    <t xml:space="preserve">Hoa_hong!A4:B6</t>
  </si>
  <si>
    <t xml:space="preserve">Hoa_hong!A5:B7</t>
  </si>
  <si>
    <t xml:space="preserve">Hoa_hong!A6:B8</t>
  </si>
  <si>
    <t xml:space="preserve">Hoa_hong!A7:B9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</si>
</sst>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0.0%"/>
    <numFmt numFmtId="168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n">
        <v>65</v>
      </c>
      <c r="F5" s="5" t="n">
        <v>5200</v>
      </c>
      <c r="G5" s="6" t="n">
        <v>0.03</v>
      </c>
      <c r="H5" s="4" t="s">
        <v>18</v>
      </c>
      <c r="I5" s="7" t="n">
        <f aca="false">VLOOKUP(H5,Hoa_hong!$A$4:$B$6,2,FALSE())</f>
        <v>0.03</v>
      </c>
      <c r="J5" s="8" t="n">
        <f aca="false">F5*(1-G5)</f>
        <v>5044</v>
      </c>
      <c r="K5" s="8" t="n">
        <f aca="false">J5*I5</f>
        <v>151.32</v>
      </c>
      <c r="L5" s="8" t="n">
        <f aca="false">J5*Tham_so!$B$4/12</f>
        <v>25.22</v>
      </c>
    </row>
    <row r="6" customFormat="false" ht="15" hidden="false" customHeight="false" outlineLevel="0" collapsed="false">
      <c r="A6" s="4" t="s">
        <v>19</v>
      </c>
      <c r="B6" s="4" t="s">
        <v>20</v>
      </c>
      <c r="C6" s="4" t="s">
        <v>21</v>
      </c>
      <c r="D6" s="4" t="s">
        <v>22</v>
      </c>
      <c r="E6" s="4" t="n">
        <v>80</v>
      </c>
      <c r="F6" s="5" t="n">
        <v>6800</v>
      </c>
      <c r="G6" s="6" t="n">
        <v>0.05</v>
      </c>
      <c r="H6" s="4" t="s">
        <v>23</v>
      </c>
      <c r="I6" s="7" t="n">
        <f aca="false">VLOOKUP(H6,Hoa_hong!$A$4:$B$6,2,FALSE())</f>
        <v>0.02</v>
      </c>
      <c r="J6" s="8" t="n">
        <f aca="false">F6*(1-G6)</f>
        <v>6460</v>
      </c>
      <c r="K6" s="8" t="n">
        <f aca="false">J6*I6</f>
        <v>129.2</v>
      </c>
      <c r="L6" s="8" t="n">
        <f aca="false">J6*Tham_so!$B$4/12</f>
        <v>32.3</v>
      </c>
    </row>
    <row r="7" customFormat="false" ht="15" hidden="false" customHeight="false" outlineLevel="0" collapsed="false">
      <c r="A7" s="4" t="s">
        <v>24</v>
      </c>
      <c r="B7" s="4" t="s">
        <v>25</v>
      </c>
      <c r="C7" s="4" t="s">
        <v>21</v>
      </c>
      <c r="D7" s="4" t="s">
        <v>26</v>
      </c>
      <c r="E7" s="4" t="n">
        <v>200</v>
      </c>
      <c r="F7" s="5" t="n">
        <v>15000</v>
      </c>
      <c r="G7" s="6" t="n">
        <v>0.04</v>
      </c>
      <c r="H7" s="4" t="s">
        <v>18</v>
      </c>
      <c r="I7" s="7" t="n">
        <f aca="false">VLOOKUP(H7,Hoa_hong!$A$4:$B$6,2,FALSE())</f>
        <v>0.03</v>
      </c>
      <c r="J7" s="8" t="n">
        <f aca="false">F7*(1-G7)</f>
        <v>14400</v>
      </c>
      <c r="K7" s="8" t="n">
        <f aca="false">J7*I7</f>
        <v>432</v>
      </c>
      <c r="L7" s="8" t="n">
        <f aca="false">J7*Tham_so!$B$4/12</f>
        <v>72</v>
      </c>
    </row>
    <row r="8" customFormat="false" ht="15" hidden="false" customHeight="false" outlineLevel="0" collapsed="false">
      <c r="A8" s="4" t="s">
        <v>27</v>
      </c>
      <c r="B8" s="4" t="s">
        <v>28</v>
      </c>
      <c r="C8" s="4" t="s">
        <v>29</v>
      </c>
      <c r="D8" s="4" t="s">
        <v>22</v>
      </c>
      <c r="E8" s="4" t="n">
        <v>60</v>
      </c>
      <c r="F8" s="5" t="n">
        <v>4100</v>
      </c>
      <c r="G8" s="6" t="n">
        <v>0.02</v>
      </c>
      <c r="H8" s="4" t="s">
        <v>30</v>
      </c>
      <c r="I8" s="7" t="n">
        <f aca="false">VLOOKUP(H8,Hoa_hong!$A$4:$B$6,2,FALSE())</f>
        <v>0.015</v>
      </c>
      <c r="J8" s="8" t="n">
        <f aca="false">F8*(1-G8)</f>
        <v>4018</v>
      </c>
      <c r="K8" s="8" t="n">
        <f aca="false">J8*I8</f>
        <v>60.27</v>
      </c>
      <c r="L8" s="8" t="n">
        <f aca="false">J8*Tham_so!$B$4/12</f>
        <v>20.09</v>
      </c>
    </row>
    <row r="9" customFormat="false" ht="15" hidden="false" customHeight="false" outlineLevel="0" collapsed="false">
      <c r="A9" s="4" t="s">
        <v>31</v>
      </c>
      <c r="B9" s="4" t="s">
        <v>32</v>
      </c>
      <c r="C9" s="4" t="s">
        <v>33</v>
      </c>
      <c r="D9" s="4" t="s">
        <v>17</v>
      </c>
      <c r="E9" s="4" t="n">
        <v>75</v>
      </c>
      <c r="F9" s="5" t="n">
        <v>4800</v>
      </c>
      <c r="G9" s="6" t="n">
        <v>0.05</v>
      </c>
      <c r="H9" s="4" t="s">
        <v>23</v>
      </c>
      <c r="I9" s="7" t="n">
        <f aca="false">VLOOKUP(H9,Hoa_hong!$A$4:$B$6,2,FALSE())</f>
        <v>0.02</v>
      </c>
      <c r="J9" s="8" t="n">
        <f aca="false">F9*(1-G9)</f>
        <v>4560</v>
      </c>
      <c r="K9" s="8" t="n">
        <f aca="false">J9*I9</f>
        <v>91.2</v>
      </c>
      <c r="L9" s="8" t="n">
        <f aca="false">J9*Tham_so!$B$4/12</f>
        <v>22.8</v>
      </c>
    </row>
    <row r="10" customFormat="false" ht="15" hidden="false" customHeight="false" outlineLevel="0" collapsed="false">
      <c r="A10" s="4" t="s">
        <v>34</v>
      </c>
      <c r="B10" s="4" t="s">
        <v>35</v>
      </c>
      <c r="C10" s="4" t="s">
        <v>36</v>
      </c>
      <c r="D10" s="4" t="s">
        <v>22</v>
      </c>
      <c r="E10" s="4" t="n">
        <v>90</v>
      </c>
      <c r="F10" s="5" t="n">
        <v>7500</v>
      </c>
      <c r="G10" s="6" t="n">
        <v>0.06</v>
      </c>
      <c r="H10" s="4" t="s">
        <v>18</v>
      </c>
      <c r="I10" s="7" t="n">
        <f aca="false">VLOOKUP(H10,Hoa_hong!$A$4:$B$6,2,FALSE())</f>
        <v>0.03</v>
      </c>
      <c r="J10" s="8" t="n">
        <f aca="false">F10*(1-G10)</f>
        <v>7050</v>
      </c>
      <c r="K10" s="8" t="n">
        <f aca="false">J10*I10</f>
        <v>211.5</v>
      </c>
      <c r="L10" s="8" t="n">
        <f aca="false">J10*Tham_so!$B$4/12</f>
        <v>35.25</v>
      </c>
    </row>
    <row r="11" customFormat="false" ht="15" hidden="false" customHeight="false" outlineLevel="0" collapsed="false">
      <c r="A11" s="4" t="s">
        <v>37</v>
      </c>
      <c r="B11" s="4" t="s">
        <v>38</v>
      </c>
      <c r="C11" s="4" t="s">
        <v>39</v>
      </c>
      <c r="D11" s="4" t="s">
        <v>17</v>
      </c>
      <c r="E11" s="4" t="n">
        <v>55</v>
      </c>
      <c r="F11" s="5" t="n">
        <v>3600</v>
      </c>
      <c r="G11" s="6" t="n">
        <v>0</v>
      </c>
      <c r="H11" s="4" t="s">
        <v>30</v>
      </c>
      <c r="I11" s="7" t="n">
        <f aca="false">VLOOKUP(H11,Hoa_hong!$A$4:$B$6,2,FALSE())</f>
        <v>0.015</v>
      </c>
      <c r="J11" s="8" t="n">
        <f aca="false">F11*(1-G11)</f>
        <v>3600</v>
      </c>
      <c r="K11" s="8" t="n">
        <f aca="false">J11*I11</f>
        <v>54</v>
      </c>
      <c r="L11" s="8" t="n">
        <f aca="false">J11*Tham_so!$B$4/12</f>
        <v>18</v>
      </c>
    </row>
    <row r="12" customFormat="false" ht="15" hidden="false" customHeight="false" outlineLevel="0" collapsed="false">
      <c r="A12" s="4" t="s">
        <v>40</v>
      </c>
      <c r="B12" s="4" t="s">
        <v>41</v>
      </c>
      <c r="C12" s="4" t="s">
        <v>42</v>
      </c>
      <c r="D12" s="4" t="s">
        <v>22</v>
      </c>
      <c r="E12" s="4" t="n">
        <v>70</v>
      </c>
      <c r="F12" s="5" t="n">
        <v>6200</v>
      </c>
      <c r="G12" s="6" t="n">
        <v>0.03</v>
      </c>
      <c r="H12" s="4" t="s">
        <v>23</v>
      </c>
      <c r="I12" s="7" t="n">
        <f aca="false">VLOOKUP(H12,Hoa_hong!$A$4:$B$6,2,FALSE())</f>
        <v>0.02</v>
      </c>
      <c r="J12" s="8" t="n">
        <f aca="false">F12*(1-G12)</f>
        <v>6014</v>
      </c>
      <c r="K12" s="8" t="n">
        <f aca="false">J12*I12</f>
        <v>120.28</v>
      </c>
      <c r="L12" s="8" t="n">
        <f aca="false">J12*Tham_so!$B$4/12</f>
        <v>30.07</v>
      </c>
    </row>
    <row r="13" customFormat="false" ht="15" hidden="false" customHeight="false" outlineLevel="0" collapsed="false">
      <c r="A13" s="4" t="s">
        <v>43</v>
      </c>
      <c r="B13" s="4" t="s">
        <v>44</v>
      </c>
      <c r="C13" s="4" t="s">
        <v>29</v>
      </c>
      <c r="D13" s="4" t="s">
        <v>45</v>
      </c>
      <c r="E13" s="4" t="n">
        <v>100</v>
      </c>
      <c r="F13" s="5" t="n">
        <v>3900</v>
      </c>
      <c r="G13" s="6" t="n">
        <v>0.08</v>
      </c>
      <c r="H13" s="4" t="s">
        <v>30</v>
      </c>
      <c r="I13" s="7" t="n">
        <f aca="false">VLOOKUP(H13,Hoa_hong!$A$4:$B$6,2,FALSE())</f>
        <v>0.015</v>
      </c>
      <c r="J13" s="8" t="n">
        <f aca="false">F13*(1-G13)</f>
        <v>3588</v>
      </c>
      <c r="K13" s="8" t="n">
        <f aca="false">J13*I13</f>
        <v>53.82</v>
      </c>
      <c r="L13" s="8" t="n">
        <f aca="false">J13*Tham_so!$B$4/12</f>
        <v>17.94</v>
      </c>
    </row>
    <row r="14" customFormat="false" ht="15" hidden="false" customHeight="false" outlineLevel="0" collapsed="false">
      <c r="A14" s="4" t="s">
        <v>46</v>
      </c>
      <c r="B14" s="4" t="s">
        <v>47</v>
      </c>
      <c r="C14" s="4" t="s">
        <v>33</v>
      </c>
      <c r="D14" s="4" t="s">
        <v>17</v>
      </c>
      <c r="E14" s="4" t="n">
        <v>85</v>
      </c>
      <c r="F14" s="5" t="n">
        <v>5600</v>
      </c>
      <c r="G14" s="6" t="n">
        <v>0.04</v>
      </c>
      <c r="H14" s="4" t="s">
        <v>18</v>
      </c>
      <c r="I14" s="7" t="n">
        <f aca="false">VLOOKUP(H14,Hoa_hong!$A$4:$B$6,2,FALSE())</f>
        <v>0.03</v>
      </c>
      <c r="J14" s="8" t="n">
        <f aca="false">F14*(1-G14)</f>
        <v>5376</v>
      </c>
      <c r="K14" s="8" t="n">
        <f aca="false">J14*I14</f>
        <v>161.28</v>
      </c>
      <c r="L14" s="8" t="n">
        <f aca="false">J14*Tham_so!$B$4/12</f>
        <v>26.88</v>
      </c>
    </row>
  </sheetData>
  <autoFilter ref="A4:L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3" customFormat="false" ht="15" hidden="false" customHeight="false" outlineLevel="0" collapsed="false">
      <c r="A3" s="3" t="s">
        <v>9</v>
      </c>
      <c r="B3" s="3" t="s">
        <v>10</v>
      </c>
    </row>
    <row r="4" customFormat="false" ht="15" hidden="false" customHeight="false" outlineLevel="0" collapsed="false">
      <c r="A4" s="4" t="s">
        <v>18</v>
      </c>
      <c r="B4" s="9" t="n">
        <v>0.03</v>
      </c>
    </row>
    <row r="5" customFormat="false" ht="15" hidden="false" customHeight="false" outlineLevel="0" collapsed="false">
      <c r="A5" s="4" t="s">
        <v>23</v>
      </c>
      <c r="B5" s="9" t="n">
        <v>0.02</v>
      </c>
    </row>
    <row r="6" customFormat="false" ht="15" hidden="false" customHeight="false" outlineLevel="0" collapsed="false">
      <c r="A6" s="4" t="s">
        <v>30</v>
      </c>
      <c r="B6" s="9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10" t="s">
        <v>52</v>
      </c>
      <c r="B4" s="11" t="n">
        <v>0.06</v>
      </c>
    </row>
    <row r="5" customFormat="false" ht="15" hidden="false" customHeight="false" outlineLevel="0" collapsed="false">
      <c r="A5" s="10" t="s">
        <v>53</v>
      </c>
      <c r="B5" s="12" t="n">
        <f aca="false">SUM(Danh_sach!J5:J14)</f>
        <v>60110</v>
      </c>
    </row>
    <row r="6" customFormat="false" ht="15" hidden="false" customHeight="false" outlineLevel="0" collapsed="false">
      <c r="A6" s="10" t="s">
        <v>54</v>
      </c>
      <c r="B6" s="12" t="n">
        <f aca="false">SUM(Danh_sach!K5:K14)</f>
        <v>1464.87</v>
      </c>
    </row>
    <row r="7" customFormat="false" ht="15" hidden="false" customHeight="false" outlineLevel="0" collapsed="false">
      <c r="A7" s="10" t="s">
        <v>55</v>
      </c>
      <c r="B7" s="10" t="n">
        <f aca="false">COUNTA(Danh_sach!A5:A14)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4"/>
    <col collapsed="false" customWidth="true" hidden="false" outlineLevel="0" max="4" min="4" style="0" width="28"/>
  </cols>
  <sheetData>
    <row r="1" customFormat="false" ht="16.1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3" t="s">
        <v>58</v>
      </c>
      <c r="B4" s="3" t="s">
        <v>59</v>
      </c>
      <c r="C4" s="3" t="s">
        <v>60</v>
      </c>
      <c r="D4" s="3" t="s">
        <v>61</v>
      </c>
    </row>
    <row r="5" customFormat="false" ht="15" hidden="false" customHeight="false" outlineLevel="0" collapsed="false">
      <c r="A5" s="4" t="s">
        <v>18</v>
      </c>
      <c r="B5" s="13" t="s">
        <v>62</v>
      </c>
      <c r="C5" s="7" t="n">
        <f aca="false">IFERROR(VLOOKUP(A5,Hoa_hong!A4:B6,2,FALSE()),"LỖI: trôi vùng")</f>
        <v>0.03</v>
      </c>
      <c r="D5" s="7" t="n">
        <f aca="false">VLOOKUP(A5,Hoa_hong!$A$4:$B$6,2,FALSE())</f>
        <v>0.03</v>
      </c>
    </row>
    <row r="6" customFormat="false" ht="15" hidden="false" customHeight="false" outlineLevel="0" collapsed="false">
      <c r="A6" s="4" t="s">
        <v>18</v>
      </c>
      <c r="B6" s="13" t="s">
        <v>63</v>
      </c>
      <c r="C6" s="7" t="str">
        <f aca="false">IFERROR(VLOOKUP(A6,Hoa_hong!A5:B7,2,FALSE()),"LỖI: trôi vùng")</f>
        <v>LỖI: trôi vùng</v>
      </c>
      <c r="D6" s="7" t="n">
        <f aca="false">VLOOKUP(A6,Hoa_hong!$A$4:$B$6,2,FALSE())</f>
        <v>0.03</v>
      </c>
    </row>
    <row r="7" customFormat="false" ht="15" hidden="false" customHeight="false" outlineLevel="0" collapsed="false">
      <c r="A7" s="4" t="s">
        <v>23</v>
      </c>
      <c r="B7" s="13" t="s">
        <v>64</v>
      </c>
      <c r="C7" s="7" t="str">
        <f aca="false">IFERROR(VLOOKUP(A7,Hoa_hong!A6:B8,2,FALSE()),"LỖI: trôi vùng")</f>
        <v>LỖI: trôi vùng</v>
      </c>
      <c r="D7" s="7" t="n">
        <f aca="false">VLOOKUP(A7,Hoa_hong!$A$4:$B$6,2,FALSE())</f>
        <v>0.02</v>
      </c>
    </row>
    <row r="8" customFormat="false" ht="15" hidden="false" customHeight="false" outlineLevel="0" collapsed="false">
      <c r="A8" s="4" t="s">
        <v>18</v>
      </c>
      <c r="B8" s="13" t="s">
        <v>65</v>
      </c>
      <c r="C8" s="7" t="str">
        <f aca="false">IFERROR(VLOOKUP(A8,Hoa_hong!A7:B9,2,FALSE()),"LỖI: trôi vùng")</f>
        <v>LỖI: trôi vùng</v>
      </c>
      <c r="D8" s="7" t="n">
        <f aca="false">VLOOKUP(A8,Hoa_hong!$A$4:$B$6,2,FALSE())</f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2026-10-27T04:03:50Z</dcterms:created>
  <dc:creator>openpyxl</dc:creator>
  <dc:description/>
  <dc:language>en-US</dc:language>
  <cp:lastModifiedBy/>
  <dcterms:modified xsi:type="dcterms:W3CDTF">2026-10-27T04:03:50Z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